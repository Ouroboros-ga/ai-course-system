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 tabRatio="676"/>
  </bookViews>
  <sheets>
    <sheet name="销售收入预测" sheetId="1" r:id="rId1"/>
    <sheet name="销售成本预测" sheetId="2" r:id="rId2"/>
    <sheet name="现金流量表" sheetId="3" r:id="rId3"/>
  </sheets>
  <definedNames>
    <definedName name="_xlnm.Print_Area" localSheetId="0">销售收入预测!$A$1:$O$25</definedName>
    <definedName name="_xlnm.Print_Area" localSheetId="1">销售成本预测!$A$1:$O$25</definedName>
    <definedName name="_xlnm.Print_Area" localSheetId="2">现金流量表!$A$1:$O$28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olivershi</author>
  </authors>
  <commentList>
    <comment ref="A5" authorId="0">
      <text>
        <r>
          <rPr>
            <b/>
            <sz val="9"/>
            <rFont val="宋体"/>
            <charset val="134"/>
          </rPr>
          <t>olivershi:</t>
        </r>
        <r>
          <rPr>
            <sz val="9"/>
            <rFont val="宋体"/>
            <charset val="134"/>
          </rPr>
          <t xml:space="preserve">
每个产品请写上名称</t>
        </r>
      </text>
    </comment>
  </commentList>
</comments>
</file>

<file path=xl/sharedStrings.xml><?xml version="1.0" encoding="utf-8"?>
<sst xmlns="http://schemas.openxmlformats.org/spreadsheetml/2006/main" count="93" uniqueCount="65">
  <si>
    <t>销售收入预测表</t>
  </si>
  <si>
    <r>
      <rPr>
        <sz val="10.5"/>
        <color theme="1"/>
        <rFont val="Times New Roman"/>
        <charset val="134"/>
      </rPr>
      <t xml:space="preserve">          </t>
    </r>
    <r>
      <rPr>
        <sz val="10.5"/>
        <color theme="1"/>
        <rFont val="宋体"/>
        <charset val="134"/>
      </rPr>
      <t>月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季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年</t>
    </r>
  </si>
  <si>
    <t>合计</t>
  </si>
  <si>
    <t>销售情况</t>
  </si>
  <si>
    <t>产品或服务</t>
  </si>
  <si>
    <t>简易小程序开发</t>
  </si>
  <si>
    <t>销售数量</t>
  </si>
  <si>
    <t>平均单价</t>
  </si>
  <si>
    <t>月销售额</t>
  </si>
  <si>
    <t>线下编程入门课程</t>
  </si>
  <si>
    <t>线上编程入门课程</t>
  </si>
  <si>
    <t>编程私教</t>
  </si>
  <si>
    <t>毕设/竞赛专项辅导</t>
  </si>
  <si>
    <t>定制化官网开发</t>
  </si>
  <si>
    <r>
      <rPr>
        <sz val="10.5"/>
        <color theme="1"/>
        <rFont val="宋体"/>
        <charset val="134"/>
      </rPr>
      <t>合</t>
    </r>
    <r>
      <rPr>
        <sz val="10.5"/>
        <color theme="1"/>
        <rFont val="Times New Roman"/>
        <charset val="134"/>
      </rPr>
      <t xml:space="preserve">  </t>
    </r>
    <r>
      <rPr>
        <sz val="10.5"/>
        <color theme="1"/>
        <rFont val="宋体"/>
        <charset val="134"/>
      </rPr>
      <t>计</t>
    </r>
  </si>
  <si>
    <t>销售总量</t>
  </si>
  <si>
    <t>销售总收入</t>
  </si>
  <si>
    <t>销售成本与成本计划表</t>
  </si>
  <si>
    <r>
      <rPr>
        <sz val="10.5"/>
        <color theme="1"/>
        <rFont val="Times New Roman"/>
        <charset val="134"/>
      </rPr>
      <t xml:space="preserve">        </t>
    </r>
    <r>
      <rPr>
        <sz val="10.5"/>
        <color theme="1"/>
        <rFont val="宋体"/>
        <charset val="134"/>
      </rPr>
      <t>月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季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年</t>
    </r>
  </si>
  <si>
    <t>金额（元）</t>
  </si>
  <si>
    <t>项目</t>
  </si>
  <si>
    <t>销售</t>
  </si>
  <si>
    <t>含税销售收入</t>
  </si>
  <si>
    <t>增值税</t>
  </si>
  <si>
    <t>销售净收入</t>
  </si>
  <si>
    <t>成本</t>
  </si>
  <si>
    <t>原材料</t>
  </si>
  <si>
    <t>包装</t>
  </si>
  <si>
    <t>工资</t>
  </si>
  <si>
    <t>租金</t>
  </si>
  <si>
    <t>促销费</t>
  </si>
  <si>
    <t>保险费</t>
  </si>
  <si>
    <t>维修费</t>
  </si>
  <si>
    <t>水电费</t>
  </si>
  <si>
    <t>宽带费</t>
  </si>
  <si>
    <t>办公用品购置费</t>
  </si>
  <si>
    <t>其他费用</t>
  </si>
  <si>
    <t>折旧和摊销</t>
  </si>
  <si>
    <t>总成本</t>
  </si>
  <si>
    <t>附加税费</t>
  </si>
  <si>
    <r>
      <rPr>
        <sz val="10.5"/>
        <color theme="1"/>
        <rFont val="宋体"/>
        <charset val="134"/>
      </rPr>
      <t>利</t>
    </r>
    <r>
      <rPr>
        <sz val="10.5"/>
        <color theme="1"/>
        <rFont val="Times New Roman"/>
        <charset val="134"/>
      </rPr>
      <t xml:space="preserve">   </t>
    </r>
    <r>
      <rPr>
        <sz val="10.5"/>
        <color theme="1"/>
        <rFont val="宋体"/>
        <charset val="134"/>
      </rPr>
      <t>润</t>
    </r>
  </si>
  <si>
    <t>所得税</t>
  </si>
  <si>
    <t>企业所得税</t>
  </si>
  <si>
    <t>个人所得税</t>
  </si>
  <si>
    <t>净利润</t>
  </si>
  <si>
    <t>现金流量表</t>
  </si>
  <si>
    <r>
      <rPr>
        <sz val="10.5"/>
        <color theme="1"/>
        <rFont val="Times New Roman"/>
        <charset val="134"/>
      </rPr>
      <t xml:space="preserve">     </t>
    </r>
    <r>
      <rPr>
        <sz val="10.5"/>
        <color theme="1"/>
        <rFont val="宋体"/>
        <charset val="134"/>
      </rPr>
      <t>月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季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年</t>
    </r>
  </si>
  <si>
    <r>
      <rPr>
        <sz val="10.5"/>
        <color theme="1"/>
        <rFont val="宋体"/>
        <charset val="134"/>
      </rPr>
      <t>月初现金（</t>
    </r>
    <r>
      <rPr>
        <sz val="10.5"/>
        <color theme="1"/>
        <rFont val="Times New Roman"/>
        <charset val="134"/>
      </rPr>
      <t>A</t>
    </r>
    <r>
      <rPr>
        <sz val="10.5"/>
        <color theme="1"/>
        <rFont val="宋体"/>
        <charset val="134"/>
      </rPr>
      <t>）</t>
    </r>
  </si>
  <si>
    <t>现金流入</t>
  </si>
  <si>
    <t>现金销售收入</t>
  </si>
  <si>
    <t>赊销销售收入</t>
  </si>
  <si>
    <t>贷款</t>
  </si>
  <si>
    <t>企业主（股东）投资</t>
  </si>
  <si>
    <r>
      <rPr>
        <sz val="10.5"/>
        <color theme="1"/>
        <rFont val="宋体"/>
        <charset val="134"/>
      </rPr>
      <t>现金流入合计（</t>
    </r>
    <r>
      <rPr>
        <sz val="10.5"/>
        <color theme="1"/>
        <rFont val="Times New Roman"/>
        <charset val="134"/>
      </rPr>
      <t>B</t>
    </r>
    <r>
      <rPr>
        <sz val="10.5"/>
        <color theme="1"/>
        <rFont val="宋体"/>
        <charset val="134"/>
      </rPr>
      <t>）</t>
    </r>
  </si>
  <si>
    <t>现金流出</t>
  </si>
  <si>
    <t>现金采购</t>
  </si>
  <si>
    <t>赊账采购</t>
  </si>
  <si>
    <t>包装费</t>
  </si>
  <si>
    <t>贷款本息</t>
  </si>
  <si>
    <t>税金</t>
  </si>
  <si>
    <t>固定资产投资</t>
  </si>
  <si>
    <t>开办费</t>
  </si>
  <si>
    <t>其他投入</t>
  </si>
  <si>
    <r>
      <rPr>
        <sz val="10.5"/>
        <color theme="1"/>
        <rFont val="宋体"/>
        <charset val="134"/>
      </rPr>
      <t>现金流出合计（</t>
    </r>
    <r>
      <rPr>
        <sz val="10.5"/>
        <color theme="1"/>
        <rFont val="Times New Roman"/>
        <charset val="134"/>
      </rPr>
      <t>C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</si>
  <si>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月底现金</t>
    </r>
    <r>
      <rPr>
        <sz val="10.5"/>
        <color theme="1"/>
        <rFont val="Times New Roman"/>
        <charset val="134"/>
      </rPr>
      <t>(A+B-C)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</si>
</sst>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Times New Roman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176" fontId="2" fillId="2" borderId="2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176" fontId="2" fillId="0" borderId="2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176" fontId="4" fillId="2" borderId="2" xfId="0" applyNumberFormat="1" applyFont="1" applyFill="1" applyBorder="1" applyAlignment="1">
      <alignment horizontal="right" vertical="center" wrapText="1"/>
    </xf>
    <xf numFmtId="0" fontId="0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388620</xdr:colOff>
      <xdr:row>1</xdr:row>
      <xdr:rowOff>7620</xdr:rowOff>
    </xdr:from>
    <xdr:to>
      <xdr:col>1</xdr:col>
      <xdr:colOff>601980</xdr:colOff>
      <xdr:row>4</xdr:row>
      <xdr:rowOff>15240</xdr:rowOff>
    </xdr:to>
    <xdr:sp>
      <xdr:nvSpPr>
        <xdr:cNvPr id="1029" name="AutoShape 5"/>
        <xdr:cNvSpPr>
          <a:spLocks noChangeShapeType="1"/>
        </xdr:cNvSpPr>
      </xdr:nvSpPr>
      <xdr:spPr>
        <a:xfrm>
          <a:off x="388620" y="179070"/>
          <a:ext cx="899160" cy="54483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1</xdr:row>
      <xdr:rowOff>30480</xdr:rowOff>
    </xdr:from>
    <xdr:to>
      <xdr:col>2</xdr:col>
      <xdr:colOff>0</xdr:colOff>
      <xdr:row>3</xdr:row>
      <xdr:rowOff>171450</xdr:rowOff>
    </xdr:to>
    <xdr:sp>
      <xdr:nvSpPr>
        <xdr:cNvPr id="2051" name="AutoShape 3"/>
        <xdr:cNvSpPr>
          <a:spLocks noChangeShapeType="1"/>
        </xdr:cNvSpPr>
      </xdr:nvSpPr>
      <xdr:spPr>
        <a:xfrm>
          <a:off x="22860" y="201930"/>
          <a:ext cx="1581785" cy="50673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326390</xdr:colOff>
      <xdr:row>1</xdr:row>
      <xdr:rowOff>0</xdr:rowOff>
    </xdr:from>
    <xdr:to>
      <xdr:col>1</xdr:col>
      <xdr:colOff>1432560</xdr:colOff>
      <xdr:row>2</xdr:row>
      <xdr:rowOff>114300</xdr:rowOff>
    </xdr:to>
    <xdr:sp>
      <xdr:nvSpPr>
        <xdr:cNvPr id="3076" name="AutoShape 4"/>
        <xdr:cNvSpPr>
          <a:spLocks noChangeShapeType="1"/>
        </xdr:cNvSpPr>
      </xdr:nvSpPr>
      <xdr:spPr>
        <a:xfrm>
          <a:off x="326390" y="171450"/>
          <a:ext cx="1432560" cy="29718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</xdr:row>
      <xdr:rowOff>45720</xdr:rowOff>
    </xdr:from>
    <xdr:to>
      <xdr:col>1</xdr:col>
      <xdr:colOff>563880</xdr:colOff>
      <xdr:row>3</xdr:row>
      <xdr:rowOff>171450</xdr:rowOff>
    </xdr:to>
    <xdr:sp>
      <xdr:nvSpPr>
        <xdr:cNvPr id="3075" name="AutoShape 3"/>
        <xdr:cNvSpPr>
          <a:spLocks noChangeShapeType="1"/>
        </xdr:cNvSpPr>
      </xdr:nvSpPr>
      <xdr:spPr>
        <a:xfrm>
          <a:off x="0" y="400050"/>
          <a:ext cx="890270" cy="30861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showGridLines="0" tabSelected="1" zoomScale="130" zoomScaleNormal="130" topLeftCell="A2" workbookViewId="0">
      <selection activeCell="B34" sqref="B34"/>
    </sheetView>
  </sheetViews>
  <sheetFormatPr defaultColWidth="9" defaultRowHeight="13.5"/>
  <cols>
    <col min="2" max="2" width="10" customWidth="1"/>
    <col min="3" max="15" width="6.9" customWidth="1"/>
  </cols>
  <sheetData>
    <row r="1" spans="1: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ht="14.4" customHeight="1" spans="1:15">
      <c r="A2" s="26" t="s">
        <v>1</v>
      </c>
      <c r="B2" s="26"/>
      <c r="C2" s="27">
        <v>1</v>
      </c>
      <c r="D2" s="27">
        <v>2</v>
      </c>
      <c r="E2" s="27">
        <v>3</v>
      </c>
      <c r="F2" s="27">
        <v>4</v>
      </c>
      <c r="G2" s="27">
        <v>5</v>
      </c>
      <c r="H2" s="27">
        <v>6</v>
      </c>
      <c r="I2" s="27">
        <v>7</v>
      </c>
      <c r="J2" s="27">
        <v>8</v>
      </c>
      <c r="K2" s="27">
        <v>9</v>
      </c>
      <c r="L2" s="27">
        <v>10</v>
      </c>
      <c r="M2" s="27">
        <v>11</v>
      </c>
      <c r="N2" s="27">
        <v>12</v>
      </c>
      <c r="O2" s="28" t="s">
        <v>2</v>
      </c>
    </row>
    <row r="3" ht="14.4" customHeight="1" spans="1:15">
      <c r="A3" s="29" t="s">
        <v>3</v>
      </c>
      <c r="B3" s="30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15">
      <c r="A4" s="31" t="s">
        <v>4</v>
      </c>
      <c r="B4" s="31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</row>
    <row r="5" spans="1:15">
      <c r="A5" s="32" t="s">
        <v>5</v>
      </c>
      <c r="B5" s="28" t="s">
        <v>6</v>
      </c>
      <c r="C5" s="17">
        <v>1</v>
      </c>
      <c r="D5" s="17">
        <v>1</v>
      </c>
      <c r="E5" s="17">
        <v>2</v>
      </c>
      <c r="F5" s="17">
        <v>2</v>
      </c>
      <c r="G5" s="17">
        <v>2</v>
      </c>
      <c r="H5" s="17">
        <v>3</v>
      </c>
      <c r="I5" s="17">
        <v>3</v>
      </c>
      <c r="J5" s="17">
        <v>4</v>
      </c>
      <c r="K5" s="17">
        <v>2</v>
      </c>
      <c r="L5" s="17">
        <v>2</v>
      </c>
      <c r="M5" s="17">
        <v>1</v>
      </c>
      <c r="N5" s="17">
        <v>1</v>
      </c>
      <c r="O5" s="8">
        <f>SUM(C5:N5)</f>
        <v>24</v>
      </c>
    </row>
    <row r="6" spans="1:15">
      <c r="A6" s="32"/>
      <c r="B6" s="28" t="s">
        <v>7</v>
      </c>
      <c r="C6" s="17">
        <v>3000</v>
      </c>
      <c r="D6" s="17">
        <v>3000</v>
      </c>
      <c r="E6" s="17">
        <v>3000</v>
      </c>
      <c r="F6" s="17">
        <v>3000</v>
      </c>
      <c r="G6" s="17">
        <v>3000</v>
      </c>
      <c r="H6" s="17">
        <v>3000</v>
      </c>
      <c r="I6" s="17">
        <v>3000</v>
      </c>
      <c r="J6" s="17">
        <v>3000</v>
      </c>
      <c r="K6" s="17">
        <v>3000</v>
      </c>
      <c r="L6" s="17">
        <v>3000</v>
      </c>
      <c r="M6" s="17">
        <v>3000</v>
      </c>
      <c r="N6" s="17">
        <v>3000</v>
      </c>
      <c r="O6" s="8">
        <f t="shared" ref="O6:O30" si="0">SUM(C6:N6)</f>
        <v>36000</v>
      </c>
    </row>
    <row r="7" spans="1:15">
      <c r="A7" s="32"/>
      <c r="B7" s="28" t="s">
        <v>8</v>
      </c>
      <c r="C7" s="17">
        <f>C5*C6</f>
        <v>3000</v>
      </c>
      <c r="D7" s="17">
        <f t="shared" ref="D7:N7" si="1">D5*D6</f>
        <v>3000</v>
      </c>
      <c r="E7" s="17">
        <f t="shared" si="1"/>
        <v>6000</v>
      </c>
      <c r="F7" s="17">
        <f t="shared" si="1"/>
        <v>6000</v>
      </c>
      <c r="G7" s="17">
        <f t="shared" si="1"/>
        <v>6000</v>
      </c>
      <c r="H7" s="17">
        <f t="shared" si="1"/>
        <v>9000</v>
      </c>
      <c r="I7" s="17">
        <f t="shared" si="1"/>
        <v>9000</v>
      </c>
      <c r="J7" s="17">
        <f t="shared" si="1"/>
        <v>12000</v>
      </c>
      <c r="K7" s="17">
        <f t="shared" si="1"/>
        <v>6000</v>
      </c>
      <c r="L7" s="17">
        <f t="shared" si="1"/>
        <v>6000</v>
      </c>
      <c r="M7" s="17">
        <f t="shared" si="1"/>
        <v>3000</v>
      </c>
      <c r="N7" s="17">
        <f t="shared" si="1"/>
        <v>3000</v>
      </c>
      <c r="O7" s="8">
        <f t="shared" si="0"/>
        <v>72000</v>
      </c>
    </row>
    <row r="8" spans="1:15">
      <c r="A8" s="32" t="s">
        <v>9</v>
      </c>
      <c r="B8" s="28" t="s">
        <v>6</v>
      </c>
      <c r="C8" s="8">
        <v>4</v>
      </c>
      <c r="D8" s="8">
        <v>3</v>
      </c>
      <c r="E8" s="8">
        <v>2</v>
      </c>
      <c r="F8" s="8">
        <v>2</v>
      </c>
      <c r="G8" s="8">
        <v>2</v>
      </c>
      <c r="H8" s="8">
        <v>4</v>
      </c>
      <c r="I8" s="8">
        <v>6</v>
      </c>
      <c r="J8" s="8">
        <v>5</v>
      </c>
      <c r="K8" s="8">
        <v>4</v>
      </c>
      <c r="L8" s="8">
        <v>4</v>
      </c>
      <c r="M8" s="8">
        <v>3</v>
      </c>
      <c r="N8" s="8">
        <v>2</v>
      </c>
      <c r="O8" s="8">
        <f t="shared" si="0"/>
        <v>41</v>
      </c>
    </row>
    <row r="9" spans="1:15">
      <c r="A9" s="32"/>
      <c r="B9" s="28" t="s">
        <v>7</v>
      </c>
      <c r="C9" s="8">
        <v>1500</v>
      </c>
      <c r="D9" s="8">
        <v>1500</v>
      </c>
      <c r="E9" s="8">
        <v>1500</v>
      </c>
      <c r="F9" s="8">
        <v>1500</v>
      </c>
      <c r="G9" s="8">
        <v>1500</v>
      </c>
      <c r="H9" s="8">
        <v>1500</v>
      </c>
      <c r="I9" s="8">
        <v>1500</v>
      </c>
      <c r="J9" s="8">
        <v>1500</v>
      </c>
      <c r="K9" s="8">
        <v>1500</v>
      </c>
      <c r="L9" s="8">
        <v>1500</v>
      </c>
      <c r="M9" s="8">
        <v>1500</v>
      </c>
      <c r="N9" s="8">
        <v>1500</v>
      </c>
      <c r="O9" s="8">
        <f t="shared" si="0"/>
        <v>18000</v>
      </c>
    </row>
    <row r="10" spans="1:15">
      <c r="A10" s="32"/>
      <c r="B10" s="28" t="s">
        <v>8</v>
      </c>
      <c r="C10" s="17">
        <f>C8*C9</f>
        <v>6000</v>
      </c>
      <c r="D10" s="17">
        <f t="shared" ref="D10" si="2">D8*D9</f>
        <v>4500</v>
      </c>
      <c r="E10" s="17">
        <f t="shared" ref="E10" si="3">E8*E9</f>
        <v>3000</v>
      </c>
      <c r="F10" s="17">
        <f t="shared" ref="F10" si="4">F8*F9</f>
        <v>3000</v>
      </c>
      <c r="G10" s="17">
        <f t="shared" ref="G10" si="5">G8*G9</f>
        <v>3000</v>
      </c>
      <c r="H10" s="17">
        <f t="shared" ref="H10" si="6">H8*H9</f>
        <v>6000</v>
      </c>
      <c r="I10" s="17">
        <f t="shared" ref="I10" si="7">I8*I9</f>
        <v>9000</v>
      </c>
      <c r="J10" s="17">
        <f t="shared" ref="J10" si="8">J8*J9</f>
        <v>7500</v>
      </c>
      <c r="K10" s="17">
        <f t="shared" ref="K10" si="9">K8*K9</f>
        <v>6000</v>
      </c>
      <c r="L10" s="17">
        <f t="shared" ref="L10" si="10">L8*L9</f>
        <v>6000</v>
      </c>
      <c r="M10" s="17">
        <f t="shared" ref="M10" si="11">M8*M9</f>
        <v>4500</v>
      </c>
      <c r="N10" s="17">
        <f t="shared" ref="N10" si="12">N8*N9</f>
        <v>3000</v>
      </c>
      <c r="O10" s="8">
        <f t="shared" si="0"/>
        <v>61500</v>
      </c>
    </row>
    <row r="11" spans="1:15">
      <c r="A11" s="32" t="s">
        <v>10</v>
      </c>
      <c r="B11" s="28" t="s">
        <v>6</v>
      </c>
      <c r="C11" s="8">
        <v>11</v>
      </c>
      <c r="D11" s="8">
        <v>9</v>
      </c>
      <c r="E11" s="8">
        <v>8</v>
      </c>
      <c r="F11" s="8">
        <v>7</v>
      </c>
      <c r="G11" s="8">
        <v>8</v>
      </c>
      <c r="H11" s="8">
        <v>9</v>
      </c>
      <c r="I11" s="8">
        <v>10</v>
      </c>
      <c r="J11" s="8">
        <v>11</v>
      </c>
      <c r="K11" s="8">
        <v>8</v>
      </c>
      <c r="L11" s="8">
        <v>8</v>
      </c>
      <c r="M11" s="8">
        <v>7</v>
      </c>
      <c r="N11" s="8">
        <v>8</v>
      </c>
      <c r="O11" s="8">
        <f t="shared" si="0"/>
        <v>104</v>
      </c>
    </row>
    <row r="12" spans="1:15">
      <c r="A12" s="32"/>
      <c r="B12" s="28" t="s">
        <v>7</v>
      </c>
      <c r="C12" s="8">
        <v>600</v>
      </c>
      <c r="D12" s="8">
        <v>600</v>
      </c>
      <c r="E12" s="8">
        <v>600</v>
      </c>
      <c r="F12" s="8">
        <v>600</v>
      </c>
      <c r="G12" s="8">
        <v>600</v>
      </c>
      <c r="H12" s="8">
        <v>600</v>
      </c>
      <c r="I12" s="8">
        <v>600</v>
      </c>
      <c r="J12" s="8">
        <v>600</v>
      </c>
      <c r="K12" s="8">
        <v>600</v>
      </c>
      <c r="L12" s="8">
        <v>600</v>
      </c>
      <c r="M12" s="8">
        <v>600</v>
      </c>
      <c r="N12" s="8">
        <v>600</v>
      </c>
      <c r="O12" s="8">
        <f t="shared" si="0"/>
        <v>7200</v>
      </c>
    </row>
    <row r="13" spans="1:15">
      <c r="A13" s="32"/>
      <c r="B13" s="28" t="s">
        <v>8</v>
      </c>
      <c r="C13" s="17">
        <f>C11*C12</f>
        <v>6600</v>
      </c>
      <c r="D13" s="17">
        <f t="shared" ref="D13" si="13">D11*D12</f>
        <v>5400</v>
      </c>
      <c r="E13" s="17">
        <f t="shared" ref="E13" si="14">E11*E12</f>
        <v>4800</v>
      </c>
      <c r="F13" s="17">
        <f t="shared" ref="F13" si="15">F11*F12</f>
        <v>4200</v>
      </c>
      <c r="G13" s="17">
        <f t="shared" ref="G13" si="16">G11*G12</f>
        <v>4800</v>
      </c>
      <c r="H13" s="17">
        <f t="shared" ref="H13" si="17">H11*H12</f>
        <v>5400</v>
      </c>
      <c r="I13" s="17">
        <f t="shared" ref="I13" si="18">I11*I12</f>
        <v>6000</v>
      </c>
      <c r="J13" s="17">
        <f t="shared" ref="J13" si="19">J11*J12</f>
        <v>6600</v>
      </c>
      <c r="K13" s="17">
        <f t="shared" ref="K13" si="20">K11*K12</f>
        <v>4800</v>
      </c>
      <c r="L13" s="17">
        <f t="shared" ref="L13" si="21">L11*L12</f>
        <v>4800</v>
      </c>
      <c r="M13" s="17">
        <f t="shared" ref="M13" si="22">M11*M12</f>
        <v>4200</v>
      </c>
      <c r="N13" s="17">
        <f t="shared" ref="N13" si="23">N11*N12</f>
        <v>4800</v>
      </c>
      <c r="O13" s="8">
        <f t="shared" si="0"/>
        <v>62400</v>
      </c>
    </row>
    <row r="14" spans="1:15">
      <c r="A14" s="32" t="s">
        <v>11</v>
      </c>
      <c r="B14" s="28" t="s">
        <v>6</v>
      </c>
      <c r="C14" s="8">
        <v>4</v>
      </c>
      <c r="D14" s="8">
        <v>4</v>
      </c>
      <c r="E14" s="8">
        <v>3</v>
      </c>
      <c r="F14" s="8">
        <v>3</v>
      </c>
      <c r="G14" s="8">
        <v>2</v>
      </c>
      <c r="H14" s="8">
        <v>4</v>
      </c>
      <c r="I14" s="8">
        <v>5</v>
      </c>
      <c r="J14" s="8">
        <v>5</v>
      </c>
      <c r="K14" s="8">
        <v>4</v>
      </c>
      <c r="L14" s="8">
        <v>3</v>
      </c>
      <c r="M14" s="8">
        <v>2</v>
      </c>
      <c r="N14" s="8">
        <v>2</v>
      </c>
      <c r="O14" s="8">
        <f t="shared" si="0"/>
        <v>41</v>
      </c>
    </row>
    <row r="15" spans="1:15">
      <c r="A15" s="32"/>
      <c r="B15" s="28" t="s">
        <v>7</v>
      </c>
      <c r="C15" s="8">
        <v>1600</v>
      </c>
      <c r="D15" s="8">
        <v>1600</v>
      </c>
      <c r="E15" s="8">
        <v>1600</v>
      </c>
      <c r="F15" s="8">
        <v>1600</v>
      </c>
      <c r="G15" s="8">
        <v>1600</v>
      </c>
      <c r="H15" s="8">
        <v>1600</v>
      </c>
      <c r="I15" s="8">
        <v>1600</v>
      </c>
      <c r="J15" s="8">
        <v>1600</v>
      </c>
      <c r="K15" s="8">
        <v>1600</v>
      </c>
      <c r="L15" s="8">
        <v>1600</v>
      </c>
      <c r="M15" s="8">
        <v>1600</v>
      </c>
      <c r="N15" s="8">
        <v>1600</v>
      </c>
      <c r="O15" s="8">
        <f t="shared" si="0"/>
        <v>19200</v>
      </c>
    </row>
    <row r="16" spans="1:15">
      <c r="A16" s="32"/>
      <c r="B16" s="28" t="s">
        <v>8</v>
      </c>
      <c r="C16" s="17">
        <f>C14*C15</f>
        <v>6400</v>
      </c>
      <c r="D16" s="17">
        <f t="shared" ref="D16" si="24">D14*D15</f>
        <v>6400</v>
      </c>
      <c r="E16" s="17">
        <f t="shared" ref="E16" si="25">E14*E15</f>
        <v>4800</v>
      </c>
      <c r="F16" s="17">
        <f t="shared" ref="F16" si="26">F14*F15</f>
        <v>4800</v>
      </c>
      <c r="G16" s="17">
        <f t="shared" ref="G16" si="27">G14*G15</f>
        <v>3200</v>
      </c>
      <c r="H16" s="17">
        <f t="shared" ref="H16" si="28">H14*H15</f>
        <v>6400</v>
      </c>
      <c r="I16" s="17">
        <f t="shared" ref="I16" si="29">I14*I15</f>
        <v>8000</v>
      </c>
      <c r="J16" s="17">
        <f t="shared" ref="J16" si="30">J14*J15</f>
        <v>8000</v>
      </c>
      <c r="K16" s="17">
        <f t="shared" ref="K16" si="31">K14*K15</f>
        <v>6400</v>
      </c>
      <c r="L16" s="17">
        <f t="shared" ref="L16" si="32">L14*L15</f>
        <v>4800</v>
      </c>
      <c r="M16" s="17">
        <f t="shared" ref="M16" si="33">M14*M15</f>
        <v>3200</v>
      </c>
      <c r="N16" s="17">
        <f t="shared" ref="N16" si="34">N14*N15</f>
        <v>3200</v>
      </c>
      <c r="O16" s="8">
        <f t="shared" si="0"/>
        <v>65600</v>
      </c>
    </row>
    <row r="17" spans="1:15">
      <c r="A17" s="32" t="s">
        <v>12</v>
      </c>
      <c r="B17" s="28" t="s">
        <v>6</v>
      </c>
      <c r="C17" s="8">
        <v>3</v>
      </c>
      <c r="D17" s="8">
        <v>3</v>
      </c>
      <c r="E17" s="8">
        <v>2</v>
      </c>
      <c r="F17" s="8">
        <v>3</v>
      </c>
      <c r="G17" s="8">
        <v>4</v>
      </c>
      <c r="H17" s="8">
        <v>5</v>
      </c>
      <c r="I17" s="8">
        <v>4</v>
      </c>
      <c r="J17" s="8">
        <v>3</v>
      </c>
      <c r="K17" s="8">
        <v>3</v>
      </c>
      <c r="L17" s="8">
        <v>2</v>
      </c>
      <c r="M17" s="8">
        <v>2</v>
      </c>
      <c r="N17" s="8">
        <v>3</v>
      </c>
      <c r="O17" s="8">
        <f t="shared" si="0"/>
        <v>37</v>
      </c>
    </row>
    <row r="18" spans="1:15">
      <c r="A18" s="32"/>
      <c r="B18" s="28" t="s">
        <v>7</v>
      </c>
      <c r="C18" s="8">
        <v>1500</v>
      </c>
      <c r="D18" s="8">
        <v>1500</v>
      </c>
      <c r="E18" s="8">
        <v>1500</v>
      </c>
      <c r="F18" s="8">
        <v>1500</v>
      </c>
      <c r="G18" s="8">
        <v>1500</v>
      </c>
      <c r="H18" s="8">
        <v>1500</v>
      </c>
      <c r="I18" s="8">
        <v>1500</v>
      </c>
      <c r="J18" s="8">
        <v>1500</v>
      </c>
      <c r="K18" s="8">
        <v>1500</v>
      </c>
      <c r="L18" s="8">
        <v>1500</v>
      </c>
      <c r="M18" s="8">
        <v>1500</v>
      </c>
      <c r="N18" s="8">
        <v>1500</v>
      </c>
      <c r="O18" s="8">
        <f t="shared" si="0"/>
        <v>18000</v>
      </c>
    </row>
    <row r="19" spans="1:15">
      <c r="A19" s="32"/>
      <c r="B19" s="28" t="s">
        <v>8</v>
      </c>
      <c r="C19" s="17">
        <f>C17*C18</f>
        <v>4500</v>
      </c>
      <c r="D19" s="17">
        <f t="shared" ref="D19" si="35">D17*D18</f>
        <v>4500</v>
      </c>
      <c r="E19" s="17">
        <f t="shared" ref="E19" si="36">E17*E18</f>
        <v>3000</v>
      </c>
      <c r="F19" s="17">
        <f t="shared" ref="F19" si="37">F17*F18</f>
        <v>4500</v>
      </c>
      <c r="G19" s="17">
        <f t="shared" ref="G19" si="38">G17*G18</f>
        <v>6000</v>
      </c>
      <c r="H19" s="17">
        <f t="shared" ref="H19" si="39">H17*H18</f>
        <v>7500</v>
      </c>
      <c r="I19" s="17">
        <f t="shared" ref="I19" si="40">I17*I18</f>
        <v>6000</v>
      </c>
      <c r="J19" s="17">
        <f t="shared" ref="J19" si="41">J17*J18</f>
        <v>4500</v>
      </c>
      <c r="K19" s="17">
        <f t="shared" ref="K19" si="42">K17*K18</f>
        <v>4500</v>
      </c>
      <c r="L19" s="17">
        <f t="shared" ref="L19" si="43">L17*L18</f>
        <v>3000</v>
      </c>
      <c r="M19" s="17">
        <f t="shared" ref="M19" si="44">M17*M18</f>
        <v>3000</v>
      </c>
      <c r="N19" s="17">
        <f t="shared" ref="N19" si="45">N17*N18</f>
        <v>4500</v>
      </c>
      <c r="O19" s="8">
        <f t="shared" si="0"/>
        <v>55500</v>
      </c>
    </row>
    <row r="20" spans="1:15">
      <c r="A20" s="32" t="s">
        <v>13</v>
      </c>
      <c r="B20" s="28" t="s">
        <v>6</v>
      </c>
      <c r="C20" s="8">
        <v>3</v>
      </c>
      <c r="D20" s="8">
        <v>2</v>
      </c>
      <c r="E20" s="8">
        <v>3</v>
      </c>
      <c r="F20" s="8">
        <v>3</v>
      </c>
      <c r="G20" s="8">
        <v>2</v>
      </c>
      <c r="H20" s="8">
        <v>3</v>
      </c>
      <c r="I20" s="8">
        <v>2</v>
      </c>
      <c r="J20" s="8">
        <v>3</v>
      </c>
      <c r="K20" s="8">
        <v>3</v>
      </c>
      <c r="L20" s="8">
        <v>2</v>
      </c>
      <c r="M20" s="8">
        <v>2</v>
      </c>
      <c r="N20" s="8">
        <v>2</v>
      </c>
      <c r="O20" s="8">
        <f t="shared" si="0"/>
        <v>30</v>
      </c>
    </row>
    <row r="21" spans="1:15">
      <c r="A21" s="32"/>
      <c r="B21" s="28" t="s">
        <v>7</v>
      </c>
      <c r="C21" s="8">
        <v>6000</v>
      </c>
      <c r="D21" s="8">
        <v>6000</v>
      </c>
      <c r="E21" s="8">
        <v>6000</v>
      </c>
      <c r="F21" s="8">
        <v>6000</v>
      </c>
      <c r="G21" s="8">
        <v>6000</v>
      </c>
      <c r="H21" s="8">
        <v>6000</v>
      </c>
      <c r="I21" s="8">
        <v>6000</v>
      </c>
      <c r="J21" s="8">
        <v>6000</v>
      </c>
      <c r="K21" s="8">
        <v>6000</v>
      </c>
      <c r="L21" s="8">
        <v>6000</v>
      </c>
      <c r="M21" s="8">
        <v>6000</v>
      </c>
      <c r="N21" s="8">
        <v>6000</v>
      </c>
      <c r="O21" s="8">
        <f t="shared" si="0"/>
        <v>72000</v>
      </c>
    </row>
    <row r="22" spans="1:15">
      <c r="A22" s="32"/>
      <c r="B22" s="28" t="s">
        <v>8</v>
      </c>
      <c r="C22" s="17">
        <f>C20*C21</f>
        <v>18000</v>
      </c>
      <c r="D22" s="17">
        <f t="shared" ref="D22" si="46">D20*D21</f>
        <v>12000</v>
      </c>
      <c r="E22" s="17">
        <f t="shared" ref="E22" si="47">E20*E21</f>
        <v>18000</v>
      </c>
      <c r="F22" s="17">
        <f t="shared" ref="F22" si="48">F20*F21</f>
        <v>18000</v>
      </c>
      <c r="G22" s="17">
        <f t="shared" ref="G22" si="49">G20*G21</f>
        <v>12000</v>
      </c>
      <c r="H22" s="17">
        <f t="shared" ref="H22" si="50">H20*H21</f>
        <v>18000</v>
      </c>
      <c r="I22" s="17">
        <f t="shared" ref="I22" si="51">I20*I21</f>
        <v>12000</v>
      </c>
      <c r="J22" s="17">
        <f t="shared" ref="J22" si="52">J20*J21</f>
        <v>18000</v>
      </c>
      <c r="K22" s="17">
        <f t="shared" ref="K22" si="53">K20*K21</f>
        <v>18000</v>
      </c>
      <c r="L22" s="17">
        <f t="shared" ref="L22" si="54">L20*L21</f>
        <v>12000</v>
      </c>
      <c r="M22" s="17">
        <f t="shared" ref="M22" si="55">M20*M21</f>
        <v>12000</v>
      </c>
      <c r="N22" s="17">
        <f t="shared" ref="N22" si="56">N20*N21</f>
        <v>12000</v>
      </c>
      <c r="O22" s="8">
        <f t="shared" si="0"/>
        <v>180000</v>
      </c>
    </row>
    <row r="23" spans="1:15">
      <c r="A23" s="32" t="s">
        <v>14</v>
      </c>
      <c r="B23" s="28" t="s">
        <v>15</v>
      </c>
      <c r="C23" s="17">
        <f>C20+C17+C14+C11+C8+C5</f>
        <v>26</v>
      </c>
      <c r="D23" s="17">
        <f t="shared" ref="D23:O23" si="57">D20+D17+D14+D11+D8+D5</f>
        <v>22</v>
      </c>
      <c r="E23" s="17">
        <f t="shared" si="57"/>
        <v>20</v>
      </c>
      <c r="F23" s="17">
        <f t="shared" si="57"/>
        <v>20</v>
      </c>
      <c r="G23" s="17">
        <f t="shared" si="57"/>
        <v>20</v>
      </c>
      <c r="H23" s="17">
        <f t="shared" si="57"/>
        <v>28</v>
      </c>
      <c r="I23" s="17">
        <f t="shared" si="57"/>
        <v>30</v>
      </c>
      <c r="J23" s="17">
        <f t="shared" si="57"/>
        <v>31</v>
      </c>
      <c r="K23" s="17">
        <f t="shared" si="57"/>
        <v>24</v>
      </c>
      <c r="L23" s="17">
        <f t="shared" si="57"/>
        <v>21</v>
      </c>
      <c r="M23" s="17">
        <f t="shared" si="57"/>
        <v>17</v>
      </c>
      <c r="N23" s="17">
        <f t="shared" si="57"/>
        <v>18</v>
      </c>
      <c r="O23" s="17">
        <f t="shared" si="57"/>
        <v>277</v>
      </c>
    </row>
    <row r="24" spans="1:15">
      <c r="A24" s="33"/>
      <c r="B24" s="34" t="s">
        <v>7</v>
      </c>
      <c r="C24" s="35">
        <f>C25/C23</f>
        <v>1711.53846153846</v>
      </c>
      <c r="D24" s="35">
        <f t="shared" ref="D24:O24" si="58">D25/D23</f>
        <v>1627.27272727273</v>
      </c>
      <c r="E24" s="35">
        <f t="shared" si="58"/>
        <v>1980</v>
      </c>
      <c r="F24" s="35">
        <f t="shared" si="58"/>
        <v>2025</v>
      </c>
      <c r="G24" s="35">
        <f t="shared" si="58"/>
        <v>1750</v>
      </c>
      <c r="H24" s="35">
        <f t="shared" si="58"/>
        <v>1867.85714285714</v>
      </c>
      <c r="I24" s="35">
        <f t="shared" si="58"/>
        <v>1666.66666666667</v>
      </c>
      <c r="J24" s="35">
        <f t="shared" si="58"/>
        <v>1825.8064516129</v>
      </c>
      <c r="K24" s="35">
        <f t="shared" si="58"/>
        <v>1904.16666666667</v>
      </c>
      <c r="L24" s="35">
        <f t="shared" si="58"/>
        <v>1742.85714285714</v>
      </c>
      <c r="M24" s="35">
        <f t="shared" si="58"/>
        <v>1758.82352941176</v>
      </c>
      <c r="N24" s="35">
        <f t="shared" si="58"/>
        <v>1694.44444444444</v>
      </c>
      <c r="O24" s="35">
        <f t="shared" si="58"/>
        <v>1794.2238267148</v>
      </c>
    </row>
    <row r="25" spans="1:15">
      <c r="A25" s="32"/>
      <c r="B25" s="28" t="s">
        <v>16</v>
      </c>
      <c r="C25" s="17">
        <f>C22+C19+C16+C13+C10+C7</f>
        <v>44500</v>
      </c>
      <c r="D25" s="17">
        <f t="shared" ref="D25:O25" si="59">D22+D19+D16+D13+D10+D7</f>
        <v>35800</v>
      </c>
      <c r="E25" s="17">
        <f t="shared" si="59"/>
        <v>39600</v>
      </c>
      <c r="F25" s="17">
        <f t="shared" si="59"/>
        <v>40500</v>
      </c>
      <c r="G25" s="17">
        <f t="shared" si="59"/>
        <v>35000</v>
      </c>
      <c r="H25" s="17">
        <f t="shared" si="59"/>
        <v>52300</v>
      </c>
      <c r="I25" s="17">
        <f t="shared" si="59"/>
        <v>50000</v>
      </c>
      <c r="J25" s="17">
        <f t="shared" si="59"/>
        <v>56600</v>
      </c>
      <c r="K25" s="17">
        <f t="shared" si="59"/>
        <v>45700</v>
      </c>
      <c r="L25" s="17">
        <f t="shared" si="59"/>
        <v>36600</v>
      </c>
      <c r="M25" s="17">
        <f t="shared" si="59"/>
        <v>29900</v>
      </c>
      <c r="N25" s="17">
        <f t="shared" si="59"/>
        <v>30500</v>
      </c>
      <c r="O25" s="17">
        <f t="shared" si="59"/>
        <v>497000</v>
      </c>
    </row>
    <row r="27" ht="20" customHeight="1" spans="1:15">
      <c r="A27" s="18"/>
      <c r="B27" s="3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="15" customFormat="1"/>
    <row r="31" s="15" customFormat="1"/>
    <row r="32" s="15" customFormat="1"/>
    <row r="33" s="15" customFormat="1"/>
    <row r="34" s="15" customFormat="1"/>
    <row r="35" s="15" customFormat="1"/>
    <row r="36" s="15" customFormat="1"/>
    <row r="37" s="15" customFormat="1"/>
    <row r="38" s="15" customFormat="1"/>
    <row r="39" s="15" customFormat="1"/>
    <row r="40" s="15" customFormat="1"/>
    <row r="41" s="15" customFormat="1"/>
    <row r="42" s="15" customFormat="1"/>
    <row r="43" s="15" customFormat="1"/>
    <row r="44" s="15" customFormat="1"/>
    <row r="45" s="15" customFormat="1"/>
    <row r="46" s="15" customFormat="1"/>
    <row r="47" s="15" customFormat="1"/>
    <row r="48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="15" customFormat="1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="15" customFormat="1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</sheetData>
  <mergeCells count="24">
    <mergeCell ref="A1:O1"/>
    <mergeCell ref="A2:B2"/>
    <mergeCell ref="A3:B3"/>
    <mergeCell ref="A4:B4"/>
    <mergeCell ref="A5:A7"/>
    <mergeCell ref="A8:A10"/>
    <mergeCell ref="A11:A13"/>
    <mergeCell ref="A14:A16"/>
    <mergeCell ref="A17:A19"/>
    <mergeCell ref="A20:A22"/>
    <mergeCell ref="A23:A25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rintOptions gridLines="1"/>
  <pageMargins left="0.471527777777778" right="0.247916666666667" top="0.75" bottom="0.313888888888889" header="0.297916666666667" footer="0.297916666666667"/>
  <pageSetup paperSize="9" scale="125" orientation="landscape" blackAndWhite="1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zoomScale="130" zoomScaleNormal="130" workbookViewId="0">
      <selection activeCell="M24" sqref="M24"/>
    </sheetView>
  </sheetViews>
  <sheetFormatPr defaultColWidth="9" defaultRowHeight="13.5"/>
  <cols>
    <col min="1" max="1" width="5.525" customWidth="1"/>
    <col min="2" max="2" width="15.5333333333333" customWidth="1"/>
    <col min="3" max="15" width="6.78333333333333" customWidth="1"/>
    <col min="16" max="16" width="32.1083333333333" style="15" customWidth="1"/>
  </cols>
  <sheetData>
    <row r="1" spans="1:16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4.4" customHeight="1" spans="1:16">
      <c r="A2" s="3" t="s">
        <v>18</v>
      </c>
      <c r="B2" s="3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5" t="s">
        <v>2</v>
      </c>
    </row>
    <row r="3" ht="14.4" customHeight="1" spans="1:16">
      <c r="A3" s="16" t="s">
        <v>19</v>
      </c>
      <c r="B3" s="1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6">
      <c r="A4" s="7" t="s">
        <v>20</v>
      </c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spans="1:16">
      <c r="A5" s="5" t="s">
        <v>21</v>
      </c>
      <c r="B5" s="5" t="s">
        <v>22</v>
      </c>
      <c r="C5" s="17">
        <f>销售收入预测!C25</f>
        <v>44500</v>
      </c>
      <c r="D5" s="17">
        <f>销售收入预测!D25</f>
        <v>35800</v>
      </c>
      <c r="E5" s="17">
        <f>销售收入预测!E25</f>
        <v>39600</v>
      </c>
      <c r="F5" s="17">
        <f>销售收入预测!F25</f>
        <v>40500</v>
      </c>
      <c r="G5" s="17">
        <f>销售收入预测!G25</f>
        <v>35000</v>
      </c>
      <c r="H5" s="17">
        <f>销售收入预测!H25</f>
        <v>52300</v>
      </c>
      <c r="I5" s="17">
        <f>销售收入预测!I25</f>
        <v>50000</v>
      </c>
      <c r="J5" s="17">
        <f>销售收入预测!J25</f>
        <v>56600</v>
      </c>
      <c r="K5" s="17">
        <f>销售收入预测!K25</f>
        <v>45700</v>
      </c>
      <c r="L5" s="17">
        <f>销售收入预测!L25</f>
        <v>36600</v>
      </c>
      <c r="M5" s="17">
        <f>销售收入预测!M25</f>
        <v>29900</v>
      </c>
      <c r="N5" s="17">
        <f>销售收入预测!N25</f>
        <v>30500</v>
      </c>
      <c r="O5" s="8">
        <f>SUM(C5:N5)</f>
        <v>497000</v>
      </c>
    </row>
    <row r="6" spans="1:16">
      <c r="A6" s="5"/>
      <c r="B6" s="5" t="s">
        <v>23</v>
      </c>
      <c r="C6" s="8">
        <f>IF(C5&gt;150000,C5/1.03*0.03,0)</f>
        <v>0</v>
      </c>
      <c r="D6" s="8">
        <f t="shared" ref="D6:N6" si="0">IF(D5&gt;150000,D5/1.03*0.03,0)</f>
        <v>0</v>
      </c>
      <c r="E6" s="8">
        <f t="shared" si="0"/>
        <v>0</v>
      </c>
      <c r="F6" s="8">
        <f t="shared" si="0"/>
        <v>0</v>
      </c>
      <c r="G6" s="8">
        <f t="shared" si="0"/>
        <v>0</v>
      </c>
      <c r="H6" s="8">
        <f t="shared" si="0"/>
        <v>0</v>
      </c>
      <c r="I6" s="8">
        <f t="shared" si="0"/>
        <v>0</v>
      </c>
      <c r="J6" s="8">
        <f t="shared" si="0"/>
        <v>0</v>
      </c>
      <c r="K6" s="8">
        <f t="shared" si="0"/>
        <v>0</v>
      </c>
      <c r="L6" s="8">
        <f t="shared" si="0"/>
        <v>0</v>
      </c>
      <c r="M6" s="8">
        <f t="shared" si="0"/>
        <v>0</v>
      </c>
      <c r="N6" s="8">
        <f t="shared" si="0"/>
        <v>0</v>
      </c>
      <c r="O6" s="8">
        <f>SUM(C6:N6)</f>
        <v>0</v>
      </c>
      <c r="P6" s="18"/>
    </row>
    <row r="7" spans="1:16">
      <c r="A7" s="5"/>
      <c r="B7" s="5" t="s">
        <v>24</v>
      </c>
      <c r="C7" s="8">
        <f>C5-C6</f>
        <v>44500</v>
      </c>
      <c r="D7" s="8">
        <f t="shared" ref="D7:N7" si="1">D5-D6</f>
        <v>35800</v>
      </c>
      <c r="E7" s="8">
        <f t="shared" si="1"/>
        <v>39600</v>
      </c>
      <c r="F7" s="8">
        <f t="shared" si="1"/>
        <v>40500</v>
      </c>
      <c r="G7" s="8">
        <f t="shared" si="1"/>
        <v>35000</v>
      </c>
      <c r="H7" s="8">
        <f t="shared" si="1"/>
        <v>52300</v>
      </c>
      <c r="I7" s="8">
        <f t="shared" si="1"/>
        <v>50000</v>
      </c>
      <c r="J7" s="8">
        <f t="shared" si="1"/>
        <v>56600</v>
      </c>
      <c r="K7" s="8">
        <f t="shared" si="1"/>
        <v>45700</v>
      </c>
      <c r="L7" s="8">
        <f t="shared" si="1"/>
        <v>36600</v>
      </c>
      <c r="M7" s="8">
        <f t="shared" si="1"/>
        <v>29900</v>
      </c>
      <c r="N7" s="8">
        <f t="shared" si="1"/>
        <v>30500</v>
      </c>
      <c r="O7" s="8">
        <f>SUM(C7:N7)</f>
        <v>497000</v>
      </c>
    </row>
    <row r="8" spans="1:16">
      <c r="A8" s="11" t="s">
        <v>25</v>
      </c>
      <c r="B8" s="5" t="s">
        <v>26</v>
      </c>
      <c r="C8" s="8">
        <v>0</v>
      </c>
      <c r="D8" s="8">
        <f>C8*销售收入预测!D23/销售收入预测!C23</f>
        <v>0</v>
      </c>
      <c r="E8" s="8">
        <f>D8*销售收入预测!E23/销售收入预测!D23</f>
        <v>0</v>
      </c>
      <c r="F8" s="8">
        <f>E8*销售收入预测!F23/销售收入预测!E23</f>
        <v>0</v>
      </c>
      <c r="G8" s="8">
        <f>F8*销售收入预测!G23/销售收入预测!F23</f>
        <v>0</v>
      </c>
      <c r="H8" s="8">
        <f>G8*销售收入预测!H23/销售收入预测!G23</f>
        <v>0</v>
      </c>
      <c r="I8" s="8">
        <f>H8*销售收入预测!I23/销售收入预测!H23</f>
        <v>0</v>
      </c>
      <c r="J8" s="8">
        <f>I8*销售收入预测!J23/销售收入预测!I23</f>
        <v>0</v>
      </c>
      <c r="K8" s="8">
        <f>J8*销售收入预测!K23/销售收入预测!J23</f>
        <v>0</v>
      </c>
      <c r="L8" s="8">
        <f>K8*销售收入预测!L23/销售收入预测!K23</f>
        <v>0</v>
      </c>
      <c r="M8" s="8">
        <f>L8*销售收入预测!M23/销售收入预测!L23</f>
        <v>0</v>
      </c>
      <c r="N8" s="8">
        <f>M8*销售收入预测!N23/销售收入预测!M23</f>
        <v>0</v>
      </c>
      <c r="O8" s="8">
        <f>SUM(C8:N8)</f>
        <v>0</v>
      </c>
    </row>
    <row r="9" spans="1:16">
      <c r="A9" s="6"/>
      <c r="B9" s="5" t="s">
        <v>27</v>
      </c>
      <c r="C9" s="8">
        <f>现金流量表!C13</f>
        <v>0</v>
      </c>
      <c r="D9" s="8">
        <f>现金流量表!D13</f>
        <v>0</v>
      </c>
      <c r="E9" s="8">
        <f>现金流量表!E13</f>
        <v>0</v>
      </c>
      <c r="F9" s="8">
        <f>现金流量表!F13</f>
        <v>0</v>
      </c>
      <c r="G9" s="8">
        <f>现金流量表!G13</f>
        <v>0</v>
      </c>
      <c r="H9" s="8">
        <f>现金流量表!H13</f>
        <v>0</v>
      </c>
      <c r="I9" s="8">
        <f>现金流量表!I13</f>
        <v>0</v>
      </c>
      <c r="J9" s="8">
        <f>现金流量表!J13</f>
        <v>0</v>
      </c>
      <c r="K9" s="8">
        <f>现金流量表!K13</f>
        <v>0</v>
      </c>
      <c r="L9" s="8">
        <f>现金流量表!L13</f>
        <v>0</v>
      </c>
      <c r="M9" s="8">
        <f>现金流量表!M13</f>
        <v>0</v>
      </c>
      <c r="N9" s="8">
        <f>现金流量表!N13</f>
        <v>0</v>
      </c>
      <c r="O9" s="8">
        <f t="shared" ref="O9:O25" si="2">SUM(C9:N9)</f>
        <v>0</v>
      </c>
      <c r="P9" s="18"/>
    </row>
    <row r="10" spans="1:16">
      <c r="A10" s="6"/>
      <c r="B10" s="5" t="s">
        <v>28</v>
      </c>
      <c r="C10" s="8">
        <v>12000</v>
      </c>
      <c r="D10" s="8">
        <v>12000</v>
      </c>
      <c r="E10" s="8">
        <v>12000</v>
      </c>
      <c r="F10" s="8">
        <v>12000</v>
      </c>
      <c r="G10" s="8">
        <v>12000</v>
      </c>
      <c r="H10" s="8">
        <v>12000</v>
      </c>
      <c r="I10" s="8">
        <v>12000</v>
      </c>
      <c r="J10" s="8">
        <v>12000</v>
      </c>
      <c r="K10" s="8">
        <v>12000</v>
      </c>
      <c r="L10" s="8">
        <v>12000</v>
      </c>
      <c r="M10" s="8">
        <v>12000</v>
      </c>
      <c r="N10" s="8">
        <v>12000</v>
      </c>
      <c r="O10" s="8">
        <f t="shared" si="2"/>
        <v>144000</v>
      </c>
      <c r="P10" s="18"/>
    </row>
    <row r="11" spans="1:16">
      <c r="A11" s="6"/>
      <c r="B11" s="5" t="s">
        <v>29</v>
      </c>
      <c r="C11" s="8">
        <v>2000</v>
      </c>
      <c r="D11" s="8">
        <v>2000</v>
      </c>
      <c r="E11" s="8">
        <v>2000</v>
      </c>
      <c r="F11" s="8">
        <v>2000</v>
      </c>
      <c r="G11" s="8">
        <v>2000</v>
      </c>
      <c r="H11" s="8">
        <v>2000</v>
      </c>
      <c r="I11" s="8">
        <v>2000</v>
      </c>
      <c r="J11" s="8">
        <v>2000</v>
      </c>
      <c r="K11" s="8">
        <v>2000</v>
      </c>
      <c r="L11" s="8">
        <v>2000</v>
      </c>
      <c r="M11" s="8">
        <v>2000</v>
      </c>
      <c r="N11" s="8">
        <v>2000</v>
      </c>
      <c r="O11" s="8">
        <f t="shared" si="2"/>
        <v>24000</v>
      </c>
    </row>
    <row r="12" spans="1:16">
      <c r="A12" s="6"/>
      <c r="B12" s="5" t="s">
        <v>30</v>
      </c>
      <c r="C12" s="8">
        <v>1900</v>
      </c>
      <c r="D12" s="8">
        <v>1900</v>
      </c>
      <c r="E12" s="8">
        <v>1900</v>
      </c>
      <c r="F12" s="8">
        <v>1900</v>
      </c>
      <c r="G12" s="8">
        <v>1900</v>
      </c>
      <c r="H12" s="8">
        <v>1900</v>
      </c>
      <c r="I12" s="8">
        <v>1900</v>
      </c>
      <c r="J12" s="8">
        <v>1900</v>
      </c>
      <c r="K12" s="8">
        <v>1900</v>
      </c>
      <c r="L12" s="8">
        <v>1900</v>
      </c>
      <c r="M12" s="8">
        <v>1900</v>
      </c>
      <c r="N12" s="8">
        <v>1900</v>
      </c>
      <c r="O12" s="8">
        <f t="shared" si="2"/>
        <v>22800</v>
      </c>
    </row>
    <row r="13" spans="1:16">
      <c r="A13" s="6"/>
      <c r="B13" s="19" t="s">
        <v>31</v>
      </c>
      <c r="C13" s="8">
        <v>1500</v>
      </c>
      <c r="D13" s="8">
        <v>1500</v>
      </c>
      <c r="E13" s="8">
        <v>1500</v>
      </c>
      <c r="F13" s="8">
        <v>1500</v>
      </c>
      <c r="G13" s="8">
        <v>1500</v>
      </c>
      <c r="H13" s="8">
        <v>1500</v>
      </c>
      <c r="I13" s="8">
        <v>1500</v>
      </c>
      <c r="J13" s="8">
        <v>1500</v>
      </c>
      <c r="K13" s="8">
        <v>1500</v>
      </c>
      <c r="L13" s="8">
        <v>1500</v>
      </c>
      <c r="M13" s="8">
        <v>1500</v>
      </c>
      <c r="N13" s="8">
        <v>1500</v>
      </c>
      <c r="O13" s="8">
        <f t="shared" si="2"/>
        <v>18000</v>
      </c>
    </row>
    <row r="14" spans="1:16">
      <c r="A14" s="6"/>
      <c r="B14" s="5" t="s">
        <v>32</v>
      </c>
      <c r="C14" s="8">
        <v>500</v>
      </c>
      <c r="D14" s="8">
        <v>500</v>
      </c>
      <c r="E14" s="8">
        <v>500</v>
      </c>
      <c r="F14" s="8">
        <v>500</v>
      </c>
      <c r="G14" s="8">
        <v>500</v>
      </c>
      <c r="H14" s="8">
        <v>500</v>
      </c>
      <c r="I14" s="8">
        <v>500</v>
      </c>
      <c r="J14" s="8">
        <v>500</v>
      </c>
      <c r="K14" s="8">
        <v>500</v>
      </c>
      <c r="L14" s="8">
        <v>500</v>
      </c>
      <c r="M14" s="8">
        <v>500</v>
      </c>
      <c r="N14" s="8">
        <v>500</v>
      </c>
      <c r="O14" s="8">
        <f t="shared" si="2"/>
        <v>6000</v>
      </c>
    </row>
    <row r="15" spans="1:16">
      <c r="A15" s="6"/>
      <c r="B15" s="5" t="s">
        <v>33</v>
      </c>
      <c r="C15" s="8">
        <v>500</v>
      </c>
      <c r="D15" s="8">
        <v>500</v>
      </c>
      <c r="E15" s="8">
        <v>500</v>
      </c>
      <c r="F15" s="8">
        <v>500</v>
      </c>
      <c r="G15" s="8">
        <v>500</v>
      </c>
      <c r="H15" s="8">
        <v>500</v>
      </c>
      <c r="I15" s="8">
        <v>500</v>
      </c>
      <c r="J15" s="8">
        <v>500</v>
      </c>
      <c r="K15" s="8">
        <v>500</v>
      </c>
      <c r="L15" s="8">
        <v>500</v>
      </c>
      <c r="M15" s="8">
        <v>500</v>
      </c>
      <c r="N15" s="8">
        <v>500</v>
      </c>
      <c r="O15" s="8">
        <f t="shared" si="2"/>
        <v>6000</v>
      </c>
    </row>
    <row r="16" spans="1:16">
      <c r="A16" s="6"/>
      <c r="B16" s="5" t="s">
        <v>34</v>
      </c>
      <c r="C16" s="8">
        <v>300</v>
      </c>
      <c r="D16" s="8">
        <v>300</v>
      </c>
      <c r="E16" s="8">
        <v>300</v>
      </c>
      <c r="F16" s="8">
        <v>300</v>
      </c>
      <c r="G16" s="8">
        <v>300</v>
      </c>
      <c r="H16" s="8">
        <v>300</v>
      </c>
      <c r="I16" s="8">
        <v>300</v>
      </c>
      <c r="J16" s="8">
        <v>300</v>
      </c>
      <c r="K16" s="8">
        <v>300</v>
      </c>
      <c r="L16" s="8">
        <v>300</v>
      </c>
      <c r="M16" s="8">
        <v>300</v>
      </c>
      <c r="N16" s="8">
        <v>300</v>
      </c>
      <c r="O16" s="8">
        <f t="shared" si="2"/>
        <v>3600</v>
      </c>
      <c r="P16" s="20"/>
    </row>
    <row r="17" spans="1:16">
      <c r="A17" s="6"/>
      <c r="B17" s="5" t="s">
        <v>35</v>
      </c>
      <c r="C17" s="8">
        <v>500</v>
      </c>
      <c r="D17" s="8">
        <v>500</v>
      </c>
      <c r="E17" s="8">
        <v>500</v>
      </c>
      <c r="F17" s="8">
        <v>500</v>
      </c>
      <c r="G17" s="8">
        <v>500</v>
      </c>
      <c r="H17" s="8">
        <v>500</v>
      </c>
      <c r="I17" s="8">
        <v>500</v>
      </c>
      <c r="J17" s="8">
        <v>500</v>
      </c>
      <c r="K17" s="8">
        <v>500</v>
      </c>
      <c r="L17" s="8">
        <v>500</v>
      </c>
      <c r="M17" s="8">
        <v>500</v>
      </c>
      <c r="N17" s="8">
        <v>500</v>
      </c>
      <c r="O17" s="8">
        <f t="shared" si="2"/>
        <v>6000</v>
      </c>
      <c r="P17" s="20"/>
    </row>
    <row r="18" spans="1:16">
      <c r="A18" s="6"/>
      <c r="B18" s="5" t="s">
        <v>36</v>
      </c>
      <c r="C18" s="8">
        <v>0</v>
      </c>
      <c r="D18" s="8">
        <f>现金流量表!D26</f>
        <v>0</v>
      </c>
      <c r="E18" s="8">
        <f>现金流量表!E26</f>
        <v>0</v>
      </c>
      <c r="F18" s="8">
        <f>现金流量表!F26</f>
        <v>0</v>
      </c>
      <c r="G18" s="8">
        <f>现金流量表!G26</f>
        <v>0</v>
      </c>
      <c r="H18" s="8">
        <f>现金流量表!H26</f>
        <v>0</v>
      </c>
      <c r="I18" s="8">
        <f>现金流量表!I26</f>
        <v>0</v>
      </c>
      <c r="J18" s="8">
        <f>现金流量表!J26</f>
        <v>0</v>
      </c>
      <c r="K18" s="8">
        <f>现金流量表!K26</f>
        <v>0</v>
      </c>
      <c r="L18" s="8">
        <f>现金流量表!L26</f>
        <v>0</v>
      </c>
      <c r="M18" s="8">
        <f>现金流量表!M26</f>
        <v>0</v>
      </c>
      <c r="N18" s="8">
        <f>现金流量表!N26</f>
        <v>0</v>
      </c>
      <c r="O18" s="8">
        <f t="shared" si="2"/>
        <v>0</v>
      </c>
      <c r="P18" s="20"/>
    </row>
    <row r="19" spans="1:16">
      <c r="A19" s="6"/>
      <c r="B19" s="5" t="s">
        <v>37</v>
      </c>
      <c r="C19" s="8">
        <v>530</v>
      </c>
      <c r="D19" s="8">
        <f>C19</f>
        <v>530</v>
      </c>
      <c r="E19" s="8">
        <f t="shared" ref="E19:N19" si="3">D19</f>
        <v>530</v>
      </c>
      <c r="F19" s="8">
        <f t="shared" si="3"/>
        <v>530</v>
      </c>
      <c r="G19" s="8">
        <f t="shared" si="3"/>
        <v>530</v>
      </c>
      <c r="H19" s="8">
        <f t="shared" si="3"/>
        <v>530</v>
      </c>
      <c r="I19" s="8">
        <f t="shared" si="3"/>
        <v>530</v>
      </c>
      <c r="J19" s="8">
        <f t="shared" si="3"/>
        <v>530</v>
      </c>
      <c r="K19" s="8">
        <f t="shared" si="3"/>
        <v>530</v>
      </c>
      <c r="L19" s="8">
        <f t="shared" si="3"/>
        <v>530</v>
      </c>
      <c r="M19" s="8">
        <f t="shared" si="3"/>
        <v>530</v>
      </c>
      <c r="N19" s="8">
        <f t="shared" si="3"/>
        <v>530</v>
      </c>
      <c r="O19" s="8">
        <f t="shared" si="2"/>
        <v>6360</v>
      </c>
      <c r="P19" s="20"/>
    </row>
    <row r="20" spans="1:16">
      <c r="A20" s="13"/>
      <c r="B20" s="5" t="s">
        <v>38</v>
      </c>
      <c r="C20" s="8">
        <f>SUM(C9:C19)+C8</f>
        <v>19730</v>
      </c>
      <c r="D20" s="8">
        <f t="shared" ref="D20:N20" si="4">SUM(D9:D19)+D8</f>
        <v>19730</v>
      </c>
      <c r="E20" s="8">
        <f t="shared" si="4"/>
        <v>19730</v>
      </c>
      <c r="F20" s="8">
        <f t="shared" si="4"/>
        <v>19730</v>
      </c>
      <c r="G20" s="8">
        <f t="shared" si="4"/>
        <v>19730</v>
      </c>
      <c r="H20" s="8">
        <f t="shared" si="4"/>
        <v>19730</v>
      </c>
      <c r="I20" s="8">
        <f t="shared" si="4"/>
        <v>19730</v>
      </c>
      <c r="J20" s="8">
        <f t="shared" si="4"/>
        <v>19730</v>
      </c>
      <c r="K20" s="8">
        <f t="shared" si="4"/>
        <v>19730</v>
      </c>
      <c r="L20" s="8">
        <f t="shared" si="4"/>
        <v>19730</v>
      </c>
      <c r="M20" s="8">
        <f t="shared" si="4"/>
        <v>19730</v>
      </c>
      <c r="N20" s="8">
        <f t="shared" si="4"/>
        <v>19730</v>
      </c>
      <c r="O20" s="8">
        <f t="shared" si="2"/>
        <v>236760</v>
      </c>
      <c r="P20" s="20"/>
    </row>
    <row r="21" spans="1:16">
      <c r="A21" s="21" t="s">
        <v>39</v>
      </c>
      <c r="B21" s="22"/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f t="shared" si="2"/>
        <v>0</v>
      </c>
      <c r="P21" s="20"/>
    </row>
    <row r="22" spans="1:16">
      <c r="A22" s="21" t="s">
        <v>40</v>
      </c>
      <c r="B22" s="22"/>
      <c r="C22" s="8">
        <f>C7-C20-C21</f>
        <v>24770</v>
      </c>
      <c r="D22" s="8">
        <f t="shared" ref="D22:N22" si="5">D7-D20-D21</f>
        <v>16070</v>
      </c>
      <c r="E22" s="8">
        <f t="shared" si="5"/>
        <v>19870</v>
      </c>
      <c r="F22" s="8">
        <f t="shared" si="5"/>
        <v>20770</v>
      </c>
      <c r="G22" s="8">
        <f t="shared" si="5"/>
        <v>15270</v>
      </c>
      <c r="H22" s="8">
        <f t="shared" si="5"/>
        <v>32570</v>
      </c>
      <c r="I22" s="8">
        <f t="shared" si="5"/>
        <v>30270</v>
      </c>
      <c r="J22" s="8">
        <f t="shared" si="5"/>
        <v>36870</v>
      </c>
      <c r="K22" s="8">
        <f t="shared" si="5"/>
        <v>25970</v>
      </c>
      <c r="L22" s="8">
        <f t="shared" si="5"/>
        <v>16870</v>
      </c>
      <c r="M22" s="8">
        <f t="shared" si="5"/>
        <v>10170</v>
      </c>
      <c r="N22" s="8">
        <f t="shared" si="5"/>
        <v>10770</v>
      </c>
      <c r="O22" s="8">
        <f t="shared" si="2"/>
        <v>260240</v>
      </c>
      <c r="P22" s="20"/>
    </row>
    <row r="23" spans="1:16">
      <c r="A23" s="5" t="s">
        <v>41</v>
      </c>
      <c r="B23" s="5" t="s">
        <v>42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f t="shared" si="2"/>
        <v>0</v>
      </c>
      <c r="P23" s="20"/>
    </row>
    <row r="24" spans="1:16">
      <c r="A24" s="5"/>
      <c r="B24" s="5" t="s">
        <v>43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>
        <v>41755.2</v>
      </c>
      <c r="P24" s="20"/>
    </row>
    <row r="25" spans="1:16">
      <c r="A25" s="5" t="s">
        <v>44</v>
      </c>
      <c r="B25" s="5"/>
      <c r="C25" s="8">
        <f>C22</f>
        <v>24770</v>
      </c>
      <c r="D25" s="8">
        <f t="shared" ref="D25:N25" si="6">D22</f>
        <v>16070</v>
      </c>
      <c r="E25" s="8">
        <f t="shared" si="6"/>
        <v>19870</v>
      </c>
      <c r="F25" s="8">
        <f t="shared" si="6"/>
        <v>20770</v>
      </c>
      <c r="G25" s="8">
        <f t="shared" si="6"/>
        <v>15270</v>
      </c>
      <c r="H25" s="8">
        <f t="shared" si="6"/>
        <v>32570</v>
      </c>
      <c r="I25" s="8">
        <f t="shared" si="6"/>
        <v>30270</v>
      </c>
      <c r="J25" s="8">
        <f t="shared" si="6"/>
        <v>36870</v>
      </c>
      <c r="K25" s="8">
        <f t="shared" si="6"/>
        <v>25970</v>
      </c>
      <c r="L25" s="8">
        <f t="shared" si="6"/>
        <v>16870</v>
      </c>
      <c r="M25" s="8">
        <f t="shared" si="6"/>
        <v>10170</v>
      </c>
      <c r="N25" s="8">
        <f t="shared" si="6"/>
        <v>10770</v>
      </c>
      <c r="O25" s="8">
        <f>O22-O23-O24</f>
        <v>218484.8</v>
      </c>
      <c r="P25" s="23"/>
    </row>
    <row r="26" spans="1:16">
      <c r="P26" s="20"/>
    </row>
    <row r="27" spans="1:16">
      <c r="P27" s="24"/>
    </row>
    <row r="28" spans="1:16">
      <c r="P28" s="23"/>
    </row>
  </sheetData>
  <mergeCells count="23">
    <mergeCell ref="A1:O1"/>
    <mergeCell ref="A2:B2"/>
    <mergeCell ref="A3:B3"/>
    <mergeCell ref="A4:B4"/>
    <mergeCell ref="A21:B21"/>
    <mergeCell ref="A22:B22"/>
    <mergeCell ref="A25:B25"/>
    <mergeCell ref="A5:A7"/>
    <mergeCell ref="A8:A20"/>
    <mergeCell ref="A23:A2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ageMargins left="0.432638888888889" right="0.25" top="0.590277777777778" bottom="0.313888888888889" header="0.297916666666667" footer="0.297916666666667"/>
  <pageSetup paperSize="9" scale="12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showGridLines="0" zoomScale="115" zoomScaleNormal="115" workbookViewId="0">
      <selection activeCell="O25" sqref="O25"/>
    </sheetView>
  </sheetViews>
  <sheetFormatPr defaultColWidth="9" defaultRowHeight="13.5"/>
  <cols>
    <col min="1" max="1" width="4.28333333333333" customWidth="1"/>
    <col min="2" max="2" width="19.025" customWidth="1"/>
    <col min="3" max="3" width="6.36666666666667" customWidth="1"/>
    <col min="4" max="15" width="6.76666666666667" customWidth="1"/>
  </cols>
  <sheetData>
    <row r="1" spans="1:15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4.4" customHeight="1" spans="1:15">
      <c r="A2" s="3" t="s">
        <v>46</v>
      </c>
      <c r="B2" s="3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5" t="s">
        <v>2</v>
      </c>
    </row>
    <row r="3" ht="14.4" customHeight="1" spans="1:15">
      <c r="A3" s="6" t="s">
        <v>19</v>
      </c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>
      <c r="A4" s="7" t="s">
        <v>20</v>
      </c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spans="1:15">
      <c r="A5" s="5" t="s">
        <v>47</v>
      </c>
      <c r="B5" s="5"/>
      <c r="C5" s="8">
        <v>0</v>
      </c>
      <c r="D5" s="8">
        <f>C28</f>
        <v>2300</v>
      </c>
      <c r="E5" s="8">
        <f t="shared" ref="E5:N5" si="0">D28</f>
        <v>18900</v>
      </c>
      <c r="F5" s="8">
        <f t="shared" si="0"/>
        <v>39300</v>
      </c>
      <c r="G5" s="8">
        <f t="shared" si="0"/>
        <v>60600</v>
      </c>
      <c r="H5" s="8">
        <f t="shared" si="0"/>
        <v>76400</v>
      </c>
      <c r="I5" s="8">
        <f t="shared" si="0"/>
        <v>109500</v>
      </c>
      <c r="J5" s="8">
        <f t="shared" si="0"/>
        <v>140300</v>
      </c>
      <c r="K5" s="8">
        <f t="shared" si="0"/>
        <v>177700</v>
      </c>
      <c r="L5" s="8">
        <f t="shared" si="0"/>
        <v>204200</v>
      </c>
      <c r="M5" s="8">
        <f t="shared" si="0"/>
        <v>221600</v>
      </c>
      <c r="N5" s="8">
        <f t="shared" si="0"/>
        <v>232300</v>
      </c>
      <c r="O5" s="8"/>
    </row>
    <row r="6" spans="1:15">
      <c r="A6" s="5" t="s">
        <v>48</v>
      </c>
      <c r="B6" s="9" t="s">
        <v>49</v>
      </c>
      <c r="C6" s="8">
        <f>销售收入预测!C25</f>
        <v>44500</v>
      </c>
      <c r="D6" s="8">
        <f>销售收入预测!D25</f>
        <v>35800</v>
      </c>
      <c r="E6" s="8">
        <f>销售收入预测!E25</f>
        <v>39600</v>
      </c>
      <c r="F6" s="8">
        <f>销售收入预测!F25</f>
        <v>40500</v>
      </c>
      <c r="G6" s="8">
        <f>销售收入预测!G25</f>
        <v>35000</v>
      </c>
      <c r="H6" s="8">
        <f>销售收入预测!H25</f>
        <v>52300</v>
      </c>
      <c r="I6" s="8">
        <f>销售收入预测!I25</f>
        <v>50000</v>
      </c>
      <c r="J6" s="8">
        <f>销售收入预测!J25</f>
        <v>56600</v>
      </c>
      <c r="K6" s="8">
        <f>销售收入预测!K25</f>
        <v>45700</v>
      </c>
      <c r="L6" s="8">
        <f>销售收入预测!L25</f>
        <v>36600</v>
      </c>
      <c r="M6" s="8">
        <f>销售收入预测!M25</f>
        <v>29900</v>
      </c>
      <c r="N6" s="8">
        <f>销售收入预测!N25</f>
        <v>30500</v>
      </c>
      <c r="O6" s="8">
        <f t="shared" ref="O6:O20" si="1">SUM(C6:N6)</f>
        <v>497000</v>
      </c>
    </row>
    <row r="7" spans="1:15">
      <c r="A7" s="5"/>
      <c r="B7" s="9" t="s">
        <v>50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f t="shared" si="1"/>
        <v>0</v>
      </c>
    </row>
    <row r="8" spans="1:15">
      <c r="A8" s="5"/>
      <c r="B8" s="9" t="s">
        <v>51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si="1"/>
        <v>0</v>
      </c>
    </row>
    <row r="9" spans="1:15">
      <c r="A9" s="5"/>
      <c r="B9" s="9" t="s">
        <v>52</v>
      </c>
      <c r="C9" s="10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1"/>
        <v>0</v>
      </c>
    </row>
    <row r="10" spans="1:15">
      <c r="A10" s="5"/>
      <c r="B10" s="9" t="s">
        <v>53</v>
      </c>
      <c r="C10" s="8">
        <f>SUM(C6:C9)</f>
        <v>44500</v>
      </c>
      <c r="D10" s="8">
        <f t="shared" ref="D10:O10" si="2">SUM(D6:D9)</f>
        <v>35800</v>
      </c>
      <c r="E10" s="8">
        <f t="shared" si="2"/>
        <v>39600</v>
      </c>
      <c r="F10" s="8">
        <f t="shared" si="2"/>
        <v>40500</v>
      </c>
      <c r="G10" s="8">
        <f t="shared" si="2"/>
        <v>35000</v>
      </c>
      <c r="H10" s="8">
        <f t="shared" si="2"/>
        <v>52300</v>
      </c>
      <c r="I10" s="8">
        <f t="shared" si="2"/>
        <v>50000</v>
      </c>
      <c r="J10" s="8">
        <f t="shared" si="2"/>
        <v>56600</v>
      </c>
      <c r="K10" s="8">
        <f t="shared" si="2"/>
        <v>45700</v>
      </c>
      <c r="L10" s="8">
        <f t="shared" si="2"/>
        <v>36600</v>
      </c>
      <c r="M10" s="8">
        <f t="shared" si="2"/>
        <v>29900</v>
      </c>
      <c r="N10" s="8">
        <f t="shared" si="2"/>
        <v>30500</v>
      </c>
      <c r="O10" s="8">
        <f t="shared" si="1"/>
        <v>497000</v>
      </c>
    </row>
    <row r="11" spans="1:15">
      <c r="A11" s="11" t="s">
        <v>54</v>
      </c>
      <c r="B11" s="9" t="s">
        <v>55</v>
      </c>
      <c r="C11" s="8">
        <f>销售成本预测!C8</f>
        <v>0</v>
      </c>
      <c r="D11" s="8">
        <f>销售成本预测!D8</f>
        <v>0</v>
      </c>
      <c r="E11" s="8">
        <f>销售成本预测!E8</f>
        <v>0</v>
      </c>
      <c r="F11" s="8">
        <f>销售成本预测!F8</f>
        <v>0</v>
      </c>
      <c r="G11" s="8">
        <f>销售成本预测!G8</f>
        <v>0</v>
      </c>
      <c r="H11" s="8">
        <f>销售成本预测!H8</f>
        <v>0</v>
      </c>
      <c r="I11" s="8">
        <f>销售成本预测!I8</f>
        <v>0</v>
      </c>
      <c r="J11" s="8">
        <f>销售成本预测!J8</f>
        <v>0</v>
      </c>
      <c r="K11" s="8">
        <f>销售成本预测!K8</f>
        <v>0</v>
      </c>
      <c r="L11" s="8">
        <f>销售成本预测!L8</f>
        <v>0</v>
      </c>
      <c r="M11" s="8">
        <f>销售成本预测!M8</f>
        <v>0</v>
      </c>
      <c r="N11" s="8">
        <f>销售成本预测!N8</f>
        <v>0</v>
      </c>
      <c r="O11" s="8">
        <f t="shared" si="1"/>
        <v>0</v>
      </c>
    </row>
    <row r="12" spans="1:15">
      <c r="A12" s="6"/>
      <c r="B12" s="9" t="s">
        <v>56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f t="shared" si="1"/>
        <v>0</v>
      </c>
    </row>
    <row r="13" spans="1:15">
      <c r="A13" s="6"/>
      <c r="B13" s="9" t="s">
        <v>57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f t="shared" si="1"/>
        <v>0</v>
      </c>
    </row>
    <row r="14" spans="1:15">
      <c r="A14" s="6"/>
      <c r="B14" s="9" t="s">
        <v>28</v>
      </c>
      <c r="C14" s="8">
        <v>12000</v>
      </c>
      <c r="D14" s="8">
        <v>12000</v>
      </c>
      <c r="E14" s="8">
        <v>12000</v>
      </c>
      <c r="F14" s="8">
        <v>12000</v>
      </c>
      <c r="G14" s="8">
        <v>12000</v>
      </c>
      <c r="H14" s="8">
        <v>12000</v>
      </c>
      <c r="I14" s="8">
        <v>12000</v>
      </c>
      <c r="J14" s="8">
        <v>12000</v>
      </c>
      <c r="K14" s="8">
        <v>12000</v>
      </c>
      <c r="L14" s="8">
        <v>12000</v>
      </c>
      <c r="M14" s="8">
        <v>12000</v>
      </c>
      <c r="N14" s="8">
        <v>12000</v>
      </c>
      <c r="O14" s="8">
        <f t="shared" si="1"/>
        <v>144000</v>
      </c>
    </row>
    <row r="15" spans="1:15">
      <c r="A15" s="6"/>
      <c r="B15" s="9" t="s">
        <v>29</v>
      </c>
      <c r="C15" s="8">
        <v>2000</v>
      </c>
      <c r="D15" s="8">
        <v>2000</v>
      </c>
      <c r="E15" s="8">
        <v>2000</v>
      </c>
      <c r="F15" s="8">
        <v>2000</v>
      </c>
      <c r="G15" s="8">
        <v>2000</v>
      </c>
      <c r="H15" s="8">
        <v>2000</v>
      </c>
      <c r="I15" s="8">
        <v>2000</v>
      </c>
      <c r="J15" s="8">
        <v>2000</v>
      </c>
      <c r="K15" s="8">
        <v>2000</v>
      </c>
      <c r="L15" s="8">
        <v>2000</v>
      </c>
      <c r="M15" s="8">
        <v>2000</v>
      </c>
      <c r="N15" s="8">
        <v>2000</v>
      </c>
      <c r="O15" s="8">
        <f t="shared" si="1"/>
        <v>24000</v>
      </c>
    </row>
    <row r="16" spans="1:15">
      <c r="A16" s="6"/>
      <c r="B16" s="9" t="s">
        <v>30</v>
      </c>
      <c r="C16" s="8">
        <v>1900</v>
      </c>
      <c r="D16" s="8">
        <v>1900</v>
      </c>
      <c r="E16" s="8">
        <v>1900</v>
      </c>
      <c r="F16" s="8">
        <v>1900</v>
      </c>
      <c r="G16" s="8">
        <v>1900</v>
      </c>
      <c r="H16" s="8">
        <v>1900</v>
      </c>
      <c r="I16" s="8">
        <v>1900</v>
      </c>
      <c r="J16" s="8">
        <v>1900</v>
      </c>
      <c r="K16" s="8">
        <v>1900</v>
      </c>
      <c r="L16" s="8">
        <v>1900</v>
      </c>
      <c r="M16" s="8">
        <v>1900</v>
      </c>
      <c r="N16" s="8">
        <v>1900</v>
      </c>
      <c r="O16" s="8">
        <f t="shared" si="1"/>
        <v>22800</v>
      </c>
    </row>
    <row r="17" s="1" customFormat="1" spans="1:15">
      <c r="A17" s="6"/>
      <c r="B17" s="12" t="s">
        <v>31</v>
      </c>
      <c r="C17" s="8">
        <v>1500</v>
      </c>
      <c r="D17" s="8">
        <v>1500</v>
      </c>
      <c r="E17" s="8">
        <v>1500</v>
      </c>
      <c r="F17" s="8">
        <v>1500</v>
      </c>
      <c r="G17" s="8">
        <v>1500</v>
      </c>
      <c r="H17" s="8">
        <v>1500</v>
      </c>
      <c r="I17" s="8">
        <v>1500</v>
      </c>
      <c r="J17" s="8">
        <v>1500</v>
      </c>
      <c r="K17" s="8">
        <v>1500</v>
      </c>
      <c r="L17" s="8">
        <v>1500</v>
      </c>
      <c r="M17" s="8">
        <v>1500</v>
      </c>
      <c r="N17" s="8">
        <v>1500</v>
      </c>
      <c r="O17" s="8">
        <f t="shared" si="1"/>
        <v>18000</v>
      </c>
    </row>
    <row r="18" s="1" customFormat="1" spans="1:15">
      <c r="A18" s="6"/>
      <c r="B18" s="12" t="s">
        <v>32</v>
      </c>
      <c r="C18" s="8">
        <v>500</v>
      </c>
      <c r="D18" s="8">
        <v>500</v>
      </c>
      <c r="E18" s="8">
        <v>500</v>
      </c>
      <c r="F18" s="8">
        <v>500</v>
      </c>
      <c r="G18" s="8">
        <v>500</v>
      </c>
      <c r="H18" s="8">
        <v>500</v>
      </c>
      <c r="I18" s="8">
        <v>500</v>
      </c>
      <c r="J18" s="8">
        <v>500</v>
      </c>
      <c r="K18" s="8">
        <v>500</v>
      </c>
      <c r="L18" s="8">
        <v>500</v>
      </c>
      <c r="M18" s="8">
        <v>500</v>
      </c>
      <c r="N18" s="8">
        <v>500</v>
      </c>
      <c r="O18" s="8">
        <f t="shared" si="1"/>
        <v>6000</v>
      </c>
    </row>
    <row r="19" s="1" customFormat="1" spans="1:15">
      <c r="A19" s="6"/>
      <c r="B19" s="12" t="s">
        <v>33</v>
      </c>
      <c r="C19" s="8">
        <v>500</v>
      </c>
      <c r="D19" s="8">
        <v>500</v>
      </c>
      <c r="E19" s="8">
        <v>500</v>
      </c>
      <c r="F19" s="8">
        <v>500</v>
      </c>
      <c r="G19" s="8">
        <v>500</v>
      </c>
      <c r="H19" s="8">
        <v>500</v>
      </c>
      <c r="I19" s="8">
        <v>500</v>
      </c>
      <c r="J19" s="8">
        <v>500</v>
      </c>
      <c r="K19" s="8">
        <v>500</v>
      </c>
      <c r="L19" s="8">
        <v>500</v>
      </c>
      <c r="M19" s="8">
        <v>500</v>
      </c>
      <c r="N19" s="8">
        <v>500</v>
      </c>
      <c r="O19" s="8">
        <f t="shared" si="1"/>
        <v>6000</v>
      </c>
    </row>
    <row r="20" s="1" customFormat="1" spans="1:15">
      <c r="A20" s="6"/>
      <c r="B20" s="12" t="s">
        <v>34</v>
      </c>
      <c r="C20" s="8">
        <v>300</v>
      </c>
      <c r="D20" s="8">
        <v>300</v>
      </c>
      <c r="E20" s="8">
        <v>300</v>
      </c>
      <c r="F20" s="8">
        <v>300</v>
      </c>
      <c r="G20" s="8">
        <v>300</v>
      </c>
      <c r="H20" s="8">
        <v>300</v>
      </c>
      <c r="I20" s="8">
        <v>300</v>
      </c>
      <c r="J20" s="8">
        <v>300</v>
      </c>
      <c r="K20" s="8">
        <v>300</v>
      </c>
      <c r="L20" s="8">
        <v>300</v>
      </c>
      <c r="M20" s="8">
        <v>300</v>
      </c>
      <c r="N20" s="8">
        <v>300</v>
      </c>
      <c r="O20" s="8">
        <f t="shared" si="1"/>
        <v>3600</v>
      </c>
    </row>
    <row r="21" s="1" customFormat="1" spans="1:15">
      <c r="A21" s="6"/>
      <c r="B21" s="9" t="s">
        <v>35</v>
      </c>
      <c r="C21" s="8">
        <v>500</v>
      </c>
      <c r="D21" s="8">
        <v>500</v>
      </c>
      <c r="E21" s="8">
        <v>500</v>
      </c>
      <c r="F21" s="8">
        <v>500</v>
      </c>
      <c r="G21" s="8">
        <v>500</v>
      </c>
      <c r="H21" s="8">
        <v>500</v>
      </c>
      <c r="I21" s="8">
        <v>500</v>
      </c>
      <c r="J21" s="8">
        <v>500</v>
      </c>
      <c r="K21" s="8">
        <v>500</v>
      </c>
      <c r="L21" s="8">
        <v>500</v>
      </c>
      <c r="M21" s="8">
        <v>500</v>
      </c>
      <c r="N21" s="8">
        <v>500</v>
      </c>
      <c r="O21" s="8">
        <f t="shared" ref="O21:O27" si="3">SUM(C21:N21)</f>
        <v>6000</v>
      </c>
    </row>
    <row r="22" spans="1:15">
      <c r="A22" s="6"/>
      <c r="B22" s="9" t="s">
        <v>58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</row>
    <row r="23" spans="1:15">
      <c r="A23" s="6"/>
      <c r="B23" s="9" t="s">
        <v>59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>
      <c r="A24" s="6"/>
      <c r="B24" s="9" t="s">
        <v>60</v>
      </c>
      <c r="C24" s="8">
        <v>22350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f t="shared" si="3"/>
        <v>22350</v>
      </c>
    </row>
    <row r="25" spans="1:15">
      <c r="A25" s="6"/>
      <c r="B25" s="9" t="s">
        <v>61</v>
      </c>
      <c r="C25" s="8">
        <v>650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si="3"/>
        <v>650</v>
      </c>
    </row>
    <row r="26" spans="1:15">
      <c r="A26" s="6"/>
      <c r="B26" s="9" t="s">
        <v>62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f t="shared" si="3"/>
        <v>0</v>
      </c>
    </row>
    <row r="27" spans="1:15">
      <c r="A27" s="13"/>
      <c r="B27" s="5" t="s">
        <v>63</v>
      </c>
      <c r="C27" s="8">
        <f t="shared" ref="C27:N27" si="4">SUM(C11:C26)</f>
        <v>42200</v>
      </c>
      <c r="D27" s="8">
        <f t="shared" si="4"/>
        <v>19200</v>
      </c>
      <c r="E27" s="8">
        <f t="shared" si="4"/>
        <v>19200</v>
      </c>
      <c r="F27" s="8">
        <f t="shared" si="4"/>
        <v>19200</v>
      </c>
      <c r="G27" s="8">
        <f t="shared" si="4"/>
        <v>19200</v>
      </c>
      <c r="H27" s="8">
        <f t="shared" si="4"/>
        <v>19200</v>
      </c>
      <c r="I27" s="8">
        <f t="shared" si="4"/>
        <v>19200</v>
      </c>
      <c r="J27" s="8">
        <f t="shared" si="4"/>
        <v>19200</v>
      </c>
      <c r="K27" s="8">
        <f t="shared" si="4"/>
        <v>19200</v>
      </c>
      <c r="L27" s="8">
        <f t="shared" si="4"/>
        <v>19200</v>
      </c>
      <c r="M27" s="8">
        <f t="shared" si="4"/>
        <v>19200</v>
      </c>
      <c r="N27" s="8">
        <f t="shared" si="4"/>
        <v>19200</v>
      </c>
      <c r="O27" s="8">
        <f t="shared" si="3"/>
        <v>253400</v>
      </c>
    </row>
    <row r="28" spans="1:15">
      <c r="A28" s="5" t="s">
        <v>64</v>
      </c>
      <c r="B28" s="5"/>
      <c r="C28" s="8">
        <f>C5+C10-C27</f>
        <v>2300</v>
      </c>
      <c r="D28" s="8">
        <f>D5+D10-D27</f>
        <v>18900</v>
      </c>
      <c r="E28" s="8">
        <f t="shared" ref="D28:N28" si="5">E5+E10-E27</f>
        <v>39300</v>
      </c>
      <c r="F28" s="8">
        <f t="shared" si="5"/>
        <v>60600</v>
      </c>
      <c r="G28" s="8">
        <f t="shared" si="5"/>
        <v>76400</v>
      </c>
      <c r="H28" s="8">
        <f t="shared" si="5"/>
        <v>109500</v>
      </c>
      <c r="I28" s="8">
        <f t="shared" si="5"/>
        <v>140300</v>
      </c>
      <c r="J28" s="8">
        <f t="shared" si="5"/>
        <v>177700</v>
      </c>
      <c r="K28" s="8">
        <f t="shared" si="5"/>
        <v>204200</v>
      </c>
      <c r="L28" s="8">
        <f t="shared" si="5"/>
        <v>221600</v>
      </c>
      <c r="M28" s="8">
        <f t="shared" si="5"/>
        <v>232300</v>
      </c>
      <c r="N28" s="8">
        <f t="shared" si="5"/>
        <v>243600</v>
      </c>
      <c r="O28" s="14"/>
    </row>
  </sheetData>
  <mergeCells count="21">
    <mergeCell ref="A1:O1"/>
    <mergeCell ref="A2:B2"/>
    <mergeCell ref="A3:B3"/>
    <mergeCell ref="A4:B4"/>
    <mergeCell ref="A5:B5"/>
    <mergeCell ref="A28:B28"/>
    <mergeCell ref="A6:A10"/>
    <mergeCell ref="A11:A27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ageMargins left="0.432638888888889" right="0.25" top="0.55" bottom="0.471527777777778" header="0.297916666666667" footer="0.297916666666667"/>
  <pageSetup paperSize="9" scale="12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销售收入预测</vt:lpstr>
      <vt:lpstr>销售成本预测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olivershi</dc:creator>
  <cp:lastModifiedBy>Kwumn</cp:lastModifiedBy>
  <dcterms:created xsi:type="dcterms:W3CDTF">2020-06-23T23:54:00Z</dcterms:created>
  <dcterms:modified xsi:type="dcterms:W3CDTF">2025-12-11T10:49:10Z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53EFE902517440298FCB8763C343B0FF_13</vt:lpwstr>
  </property>
  <property fmtid="{D5CDD505-2E9C-101B-9397-08002B2CF9AE}" pid="4" name="CalculationRule">
    <vt:i4>0</vt:i4>
  </property>
</Properties>
</file>